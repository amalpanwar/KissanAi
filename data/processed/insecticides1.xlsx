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fer/Desktop/KisaanAi/data/processed/"/>
    </mc:Choice>
  </mc:AlternateContent>
  <xr:revisionPtr revIDLastSave="0" documentId="8_{3B4537E6-931A-494A-B31C-7FD3F70BB968}" xr6:coauthVersionLast="47" xr6:coauthVersionMax="47" xr10:uidLastSave="{00000000-0000-0000-0000-000000000000}"/>
  <bookViews>
    <workbookView xWindow="1180" yWindow="1080" windowWidth="27240" windowHeight="16180" xr2:uid="{A3D56004-7E41-6C41-BA1D-45FE1C3D6B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H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<sst xmlns="http://schemas.openxmlformats.org/spreadsheetml/2006/main" count="386" uniqueCount="124">
  <si>
    <t>NameofInsect</t>
  </si>
  <si>
    <t>Habitat</t>
  </si>
  <si>
    <t>6._mup_bio_insecticide_03.10.2025_table_14.xlsx</t>
  </si>
  <si>
    <t>missing_waiting_period</t>
  </si>
  <si>
    <t>usable</t>
  </si>
  <si>
    <t>a.i.(gm)</t>
  </si>
  <si>
    <t>Formulation(gm)</t>
  </si>
  <si>
    <t>missing_disease</t>
  </si>
  <si>
    <t>missing_disease;missing_waiting_period</t>
  </si>
  <si>
    <t>Mosquito larvae</t>
  </si>
  <si>
    <t>Stagnantwater, Drainagewater, Puddle</t>
  </si>
  <si>
    <t>Azadirachtin 0.15%EC</t>
  </si>
  <si>
    <t>1.0</t>
  </si>
  <si>
    <t>a.i.: 1.0 | dilution: 1.0 | 1.0 | 1.0 | 10.7m2</t>
  </si>
  <si>
    <t>Ironcontainers, Machinery scraps,Ironbox, Irontanks</t>
  </si>
  <si>
    <t>5.0</t>
  </si>
  <si>
    <t>a.i.: 5.0 | dilution: 5.0 | 5.0 | 5.0 | 53.6m2</t>
  </si>
  <si>
    <t>Plasticscraps, Pit</t>
  </si>
  <si>
    <t>933.3</t>
  </si>
  <si>
    <t>a.i.: 933.3 | dilution: 933.3 | 933.3 | 933.3 | 01 ha</t>
  </si>
  <si>
    <t>Anophelesand Culex (larvae)</t>
  </si>
  <si>
    <t>-</t>
  </si>
  <si>
    <t>Bacillus thuringiensis var. israelensis WP</t>
  </si>
  <si>
    <t>2-5kg.</t>
  </si>
  <si>
    <t>a.i.: - | dilution: 2-5kg. | - | 2-5kg. | 14- 28</t>
  </si>
  <si>
    <t>Culex</t>
  </si>
  <si>
    <t>Drains,Cesspits Casuarinapits, Disusedwells</t>
  </si>
  <si>
    <t>5.0litres</t>
  </si>
  <si>
    <t>a.i.: - | formulation: 5.0litres | - | 5.0litres</t>
  </si>
  <si>
    <t>valid</t>
  </si>
  <si>
    <t>Anopheles</t>
  </si>
  <si>
    <t>Paddyfields, Ponds, Pools</t>
  </si>
  <si>
    <t>10.0 litres</t>
  </si>
  <si>
    <t>a.i.: - | formulation: 10.0 litres | - | 10.0 litres</t>
  </si>
  <si>
    <t>Aedes</t>
  </si>
  <si>
    <t>Treeholes, Disusedtyres</t>
  </si>
  <si>
    <t>Anoppheles</t>
  </si>
  <si>
    <t>Cleanwater, cement tanks</t>
  </si>
  <si>
    <t>1-2liters</t>
  </si>
  <si>
    <t>a.i.: - | formulation: 1-2liters | - | 1-2liters</t>
  </si>
  <si>
    <t>Pollutedwater, Casspits, Cementtank, Stagnantand floweringdrains</t>
  </si>
  <si>
    <t>2-4liters</t>
  </si>
  <si>
    <t>a.i.: - | formulation: 2-4liters | - | 2-4liters</t>
  </si>
  <si>
    <t>Anopheles, CulexandAedes</t>
  </si>
  <si>
    <t>Highlypolluted water</t>
  </si>
  <si>
    <t>Bacillus thuringiensis var.israelensis 5.0%AS (Visible spore count8.6x107/ml min.)(Strain VCRC-B-17,Accession No.-MTCC 5596)potency630ITU/mg.min.</t>
  </si>
  <si>
    <t>0.20ml/m2</t>
  </si>
  <si>
    <t>1liter</t>
  </si>
  <si>
    <t>a.i.: 0.20ml/m2 | formulation: 1liter | 0.20ml/m2 | 1liter</t>
  </si>
  <si>
    <t>200liter</t>
  </si>
  <si>
    <t>CleanWater</t>
  </si>
  <si>
    <t>0.10ml/m2</t>
  </si>
  <si>
    <t>a.i.: 0.10ml/m2 | formulation: 1liter | dilution: 200liter | 0.10ml/m2 | 1liter | 200liter</t>
  </si>
  <si>
    <t>6._mup_bio_insecticide_03.10.2025_table_15.xlsx</t>
  </si>
  <si>
    <t>Pollutedwater (Drain,Cesspits, Casuarina,Pit, Disusedwell)</t>
  </si>
  <si>
    <t>Bacillusthuringiensisvar.israelensis5.0%AS(StrainVCRC-B-17,SerotypeH-14,AccessionNo.- MTCC5596)potency630ITU/mg.min.</t>
  </si>
  <si>
    <t>05-10liters</t>
  </si>
  <si>
    <t>01literin50-100litersof water</t>
  </si>
  <si>
    <t>a.i.: - | formulation: 05-10liters | dilution: 01literin50-100litersof water | - | 05-10liters | 01literin50-100litersof water</t>
  </si>
  <si>
    <t>Cleanwater (Ponds,Pool, Paddyfields)</t>
  </si>
  <si>
    <t>05 liters</t>
  </si>
  <si>
    <t>01literin100liters of water</t>
  </si>
  <si>
    <t>a.i.: - | formulation: 05 liters | dilution: 01literin100liters of water | - | 05 liters | 01literin100liters of water</t>
  </si>
  <si>
    <t>Treeholes, disused tyres</t>
  </si>
  <si>
    <t>10liters</t>
  </si>
  <si>
    <t>a.i.: - | formulation: 10liters | dilution: 01literin100liters of water | - | 10liters | 01literin100liters of water</t>
  </si>
  <si>
    <t>10lit(1ml/m2)</t>
  </si>
  <si>
    <t>01literin100litersof water</t>
  </si>
  <si>
    <t>a.i.: - | formulation: 10lit(1ml/m2) | dilution: 01literin100litersof water | - | 10lit(1ml/m2) | 01literin100litersof water</t>
  </si>
  <si>
    <t>- 0</t>
  </si>
  <si>
    <t>5liters(0.5ml/m2)</t>
  </si>
  <si>
    <t>0.5literin100liters of water</t>
  </si>
  <si>
    <t>a.i.: - 0 | formulation: 5liters(0.5ml/m2) | dilution: 0.5literin100liters of water | - 0 | 5liters(0.5ml/m2) | 0.5literin100liters of water</t>
  </si>
  <si>
    <t>10liters(1ml/m2)</t>
  </si>
  <si>
    <t>a.i.: - | formulation: 10liters(1ml/m2) | dilution: 01literin100litersof water | - | 10liters(1ml/m2) | 01literin100litersof water</t>
  </si>
  <si>
    <t>Drains,Cesspits, casuarinaspits, DisusedWells</t>
  </si>
  <si>
    <t>5 lit/ha</t>
  </si>
  <si>
    <t>a.i.: - | formulation: 5 lit/ha | dilution: 01literin100litersof water | - | 5 lit/ha | 01literin100litersof water</t>
  </si>
  <si>
    <t>Paddyfields, ponds, pools</t>
  </si>
  <si>
    <t>10 lit/ha</t>
  </si>
  <si>
    <t>01literin50litersofwater</t>
  </si>
  <si>
    <t>a.i.: - | formulation: 10 lit/ha | dilution: 01literin50litersofwater | - | 10 lit/ha | 01literin50litersofwater</t>
  </si>
  <si>
    <t>Pollutedwater (Drains, Cesspits, CasuarinaPits, Disusedwells)</t>
  </si>
  <si>
    <t>10lit (1ml/m2</t>
  </si>
  <si>
    <t>200 LitersofWater</t>
  </si>
  <si>
    <t>a.i.: 10lit (1ml/m2 | dilution: 200 LitersofWater | 10lit (1ml/m2 | 200 LitersofWater</t>
  </si>
  <si>
    <t>Cleanwater (Paddyfields, Ponds,Pool)</t>
  </si>
  <si>
    <t>5 (0.5 ml/m2)</t>
  </si>
  <si>
    <t>a.i.: 5 (0.5 ml/m2) | dilution: 200 LitersofWater | 5 (0.5 ml/m2) | 200 LitersofWater</t>
  </si>
  <si>
    <t>Bacillus thuringiensis var. israelensis (H-14) 5.0%AS</t>
  </si>
  <si>
    <t>01literin100litersofwater</t>
  </si>
  <si>
    <t>a.i.: - | formulation: 5 lit/ha | dilution: 01literin100litersofwater | - | 5 lit/ha | 01literin100litersofwater</t>
  </si>
  <si>
    <t>Treeholes, disused</t>
  </si>
  <si>
    <t>Bacillus thuringiensis var. israelensis, Serotype H-14, 5% WP Potency 2000 ITU/mg</t>
  </si>
  <si>
    <t>6._mup_bio_insecticide_03.10.2025_table_16.xlsx</t>
  </si>
  <si>
    <t>Riverbed pool</t>
  </si>
  <si>
    <t>0.5</t>
  </si>
  <si>
    <t>Weekly</t>
  </si>
  <si>
    <t>formulation: 0.5 | dilution: Weekly | 0.5 | Weekly</t>
  </si>
  <si>
    <t>Cement tanks</t>
  </si>
  <si>
    <t>Fortnightly</t>
  </si>
  <si>
    <t>formulation: 0.5 | dilution: Fortnightly | 0.5 | Fortnightly</t>
  </si>
  <si>
    <t>Pokhars small kaccha orcement tanks with low walls</t>
  </si>
  <si>
    <t>Pits and ditches</t>
  </si>
  <si>
    <t>Paddyfields</t>
  </si>
  <si>
    <t>Semi polluted pits</t>
  </si>
  <si>
    <t>Ornamental fountains</t>
  </si>
  <si>
    <t>Septictanks</t>
  </si>
  <si>
    <t>Weekly/Fortnightly</t>
  </si>
  <si>
    <t>formulation: 1.0 | dilution: Weekly/Fortnightly | 1.0 | Weekly/Fortnightly</t>
  </si>
  <si>
    <t>Flood pronepolluted cesspits and ditches</t>
  </si>
  <si>
    <t>Drains with polluted stagnant or flowingvery slowly</t>
  </si>
  <si>
    <t>formulation: 0.5 | dilution: Weekly/Fortnightly | 0.5 | Weekly/Fortnightly</t>
  </si>
  <si>
    <t>source_file</t>
  </si>
  <si>
    <t>validation_errors</t>
  </si>
  <si>
    <t>validation_warnings</t>
  </si>
  <si>
    <t>quality_status</t>
  </si>
  <si>
    <t>quality_flags</t>
  </si>
  <si>
    <t>validation_status</t>
  </si>
  <si>
    <t>Dose_Text</t>
  </si>
  <si>
    <t>surface</t>
  </si>
  <si>
    <t>pesticide_name</t>
  </si>
  <si>
    <t>waiting_period_days</t>
  </si>
  <si>
    <t>insects_name_hi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</si>
</sst>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1B110-CC1D-2549-8BC3-20B310A0099D}">
  <dimension ref="A1:O36"/>
  <sheetViews>
    <sheetView tabSelected="1" workbookViewId="0">
      <selection activeCell="G5" sqref="G5"/>
    </sheetView>
  </sheetViews>
  <sheetFormatPr baseColWidth="10" defaultRowHeight="16" x14ac:dyDescent="0.2"/>
  <cols>
    <col min="7" max="7" width="108" bestFit="1" customWidth="1"/>
  </cols>
  <sheetData>
    <row r="1" spans="1:15" s="2" customFormat="1" x14ac:dyDescent="0.2">
      <c r="A1" s="2" t="s">
        <v>0</v>
      </c>
      <c r="B1" s="2" t="s">
        <v>1</v>
      </c>
      <c r="C1" s="2" t="s">
        <v>121</v>
      </c>
      <c r="D1" s="2" t="s">
        <v>5</v>
      </c>
      <c r="E1" s="2" t="s">
        <v>6</v>
      </c>
      <c r="F1" s="2" t="s">
        <v>120</v>
      </c>
      <c r="G1" s="2" t="s">
        <v>119</v>
      </c>
      <c r="H1" s="2" t="s">
        <v>122</v>
      </c>
      <c r="I1" s="1" t="s">
        <v>113</v>
      </c>
      <c r="J1" s="1" t="s">
        <v>123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</row>
    <row r="2" spans="1:15" x14ac:dyDescent="0.2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tr">
        <f>_xlfn.TEXTAFTER(G2,"|",-1)</f>
        <v xml:space="preserve"> 10.7m2</v>
      </c>
      <c r="G2" t="s">
        <v>13</v>
      </c>
      <c r="I2" t="s">
        <v>2</v>
      </c>
      <c r="L2" t="s">
        <v>3</v>
      </c>
      <c r="M2" t="s">
        <v>4</v>
      </c>
      <c r="N2" t="s">
        <v>3</v>
      </c>
      <c r="O2" t="s">
        <v>4</v>
      </c>
    </row>
    <row r="3" spans="1:15" x14ac:dyDescent="0.2">
      <c r="A3" t="s">
        <v>9</v>
      </c>
      <c r="B3" t="s">
        <v>14</v>
      </c>
      <c r="C3" t="s">
        <v>11</v>
      </c>
      <c r="D3" t="s">
        <v>15</v>
      </c>
      <c r="E3" t="s">
        <v>15</v>
      </c>
      <c r="F3" t="str">
        <f>_xlfn.TEXTAFTER(G3,"|",-1)</f>
        <v xml:space="preserve"> 53.6m2</v>
      </c>
      <c r="G3" t="s">
        <v>16</v>
      </c>
      <c r="I3" t="s">
        <v>2</v>
      </c>
      <c r="L3" t="s">
        <v>3</v>
      </c>
      <c r="M3" t="s">
        <v>4</v>
      </c>
      <c r="N3" t="s">
        <v>3</v>
      </c>
      <c r="O3" t="s">
        <v>4</v>
      </c>
    </row>
    <row r="4" spans="1:15" x14ac:dyDescent="0.2">
      <c r="A4" t="s">
        <v>9</v>
      </c>
      <c r="B4" t="s">
        <v>17</v>
      </c>
      <c r="C4" t="s">
        <v>11</v>
      </c>
      <c r="D4" t="s">
        <v>18</v>
      </c>
      <c r="E4" t="s">
        <v>18</v>
      </c>
      <c r="F4" t="str">
        <f>_xlfn.TEXTAFTER(G4,"|",-1)</f>
        <v xml:space="preserve"> 01 ha</v>
      </c>
      <c r="G4" t="s">
        <v>19</v>
      </c>
      <c r="I4" t="s">
        <v>2</v>
      </c>
      <c r="L4" t="s">
        <v>3</v>
      </c>
      <c r="M4" t="s">
        <v>4</v>
      </c>
      <c r="N4" t="s">
        <v>3</v>
      </c>
      <c r="O4" t="s">
        <v>4</v>
      </c>
    </row>
    <row r="5" spans="1:15" x14ac:dyDescent="0.2">
      <c r="A5" t="s">
        <v>20</v>
      </c>
      <c r="B5" t="s">
        <v>21</v>
      </c>
      <c r="C5" t="s">
        <v>22</v>
      </c>
      <c r="D5" t="s">
        <v>21</v>
      </c>
      <c r="E5" t="s">
        <v>23</v>
      </c>
      <c r="G5" t="s">
        <v>24</v>
      </c>
      <c r="H5" t="str">
        <f>_xlfn.TEXTAFTER(G5,"|",-1)</f>
        <v xml:space="preserve"> 14- 28</v>
      </c>
      <c r="I5" t="s">
        <v>2</v>
      </c>
      <c r="L5" t="s">
        <v>3</v>
      </c>
      <c r="M5" t="s">
        <v>4</v>
      </c>
      <c r="N5" t="s">
        <v>3</v>
      </c>
      <c r="O5" t="s">
        <v>4</v>
      </c>
    </row>
    <row r="6" spans="1:15" x14ac:dyDescent="0.2">
      <c r="A6" t="s">
        <v>25</v>
      </c>
      <c r="B6" t="s">
        <v>26</v>
      </c>
      <c r="C6" t="s">
        <v>22</v>
      </c>
      <c r="D6" t="s">
        <v>21</v>
      </c>
      <c r="E6" t="s">
        <v>27</v>
      </c>
      <c r="F6" t="str">
        <f>_xlfn.TEXTAFTER(G6,"|",-1)</f>
        <v xml:space="preserve"> 5.0litres</v>
      </c>
      <c r="G6" t="s">
        <v>28</v>
      </c>
      <c r="I6" t="s">
        <v>2</v>
      </c>
      <c r="M6" t="s">
        <v>29</v>
      </c>
      <c r="O6" t="s">
        <v>29</v>
      </c>
    </row>
    <row r="7" spans="1:15" x14ac:dyDescent="0.2">
      <c r="A7" t="s">
        <v>30</v>
      </c>
      <c r="B7" t="s">
        <v>31</v>
      </c>
      <c r="C7" t="s">
        <v>22</v>
      </c>
      <c r="D7" t="s">
        <v>21</v>
      </c>
      <c r="E7" t="s">
        <v>32</v>
      </c>
      <c r="F7" t="str">
        <f>_xlfn.TEXTAFTER(G7,"|",-1)</f>
        <v xml:space="preserve"> 10.0 litres</v>
      </c>
      <c r="G7" t="s">
        <v>33</v>
      </c>
      <c r="I7" t="s">
        <v>2</v>
      </c>
      <c r="M7" t="s">
        <v>29</v>
      </c>
      <c r="O7" t="s">
        <v>29</v>
      </c>
    </row>
    <row r="8" spans="1:15" x14ac:dyDescent="0.2">
      <c r="A8" t="s">
        <v>34</v>
      </c>
      <c r="B8" t="s">
        <v>35</v>
      </c>
      <c r="C8" t="s">
        <v>22</v>
      </c>
      <c r="D8" t="s">
        <v>21</v>
      </c>
      <c r="E8" t="s">
        <v>32</v>
      </c>
      <c r="F8" t="str">
        <f>_xlfn.TEXTAFTER(G8,"|",-1)</f>
        <v xml:space="preserve"> 10.0 litres</v>
      </c>
      <c r="G8" t="s">
        <v>33</v>
      </c>
      <c r="I8" t="s">
        <v>2</v>
      </c>
      <c r="M8" t="s">
        <v>29</v>
      </c>
      <c r="O8" t="s">
        <v>29</v>
      </c>
    </row>
    <row r="9" spans="1:15" x14ac:dyDescent="0.2">
      <c r="A9" t="s">
        <v>36</v>
      </c>
      <c r="B9" t="s">
        <v>37</v>
      </c>
      <c r="C9" t="s">
        <v>22</v>
      </c>
      <c r="D9" t="s">
        <v>21</v>
      </c>
      <c r="E9" t="s">
        <v>38</v>
      </c>
      <c r="F9" t="str">
        <f>_xlfn.TEXTAFTER(G9,"|",-1)</f>
        <v xml:space="preserve"> 1-2liters</v>
      </c>
      <c r="G9" t="s">
        <v>39</v>
      </c>
      <c r="I9" t="s">
        <v>2</v>
      </c>
      <c r="M9" t="s">
        <v>29</v>
      </c>
      <c r="O9" t="s">
        <v>29</v>
      </c>
    </row>
    <row r="10" spans="1:15" x14ac:dyDescent="0.2">
      <c r="A10" t="s">
        <v>25</v>
      </c>
      <c r="B10" t="s">
        <v>40</v>
      </c>
      <c r="C10" t="s">
        <v>22</v>
      </c>
      <c r="D10" t="s">
        <v>21</v>
      </c>
      <c r="E10" t="s">
        <v>41</v>
      </c>
      <c r="F10" t="str">
        <f>_xlfn.TEXTAFTER(G10,"|",-1)</f>
        <v xml:space="preserve"> 2-4liters</v>
      </c>
      <c r="G10" t="s">
        <v>42</v>
      </c>
      <c r="I10" t="s">
        <v>2</v>
      </c>
      <c r="M10" t="s">
        <v>29</v>
      </c>
      <c r="O10" t="s">
        <v>29</v>
      </c>
    </row>
    <row r="11" spans="1:15" x14ac:dyDescent="0.2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tr">
        <f>_xlfn.TEXTAFTER(G11,"|",-1)</f>
        <v xml:space="preserve"> 1liter</v>
      </c>
      <c r="G11" t="s">
        <v>48</v>
      </c>
      <c r="I11" t="s">
        <v>2</v>
      </c>
      <c r="M11" t="s">
        <v>29</v>
      </c>
      <c r="O11" t="s">
        <v>29</v>
      </c>
    </row>
    <row r="12" spans="1:15" x14ac:dyDescent="0.2">
      <c r="A12" t="s">
        <v>43</v>
      </c>
      <c r="B12" t="s">
        <v>50</v>
      </c>
      <c r="C12" t="s">
        <v>45</v>
      </c>
      <c r="D12" t="s">
        <v>51</v>
      </c>
      <c r="E12" t="s">
        <v>47</v>
      </c>
      <c r="F12" t="s">
        <v>49</v>
      </c>
      <c r="G12" t="s">
        <v>52</v>
      </c>
      <c r="H12" t="s">
        <v>21</v>
      </c>
      <c r="I12" t="s">
        <v>53</v>
      </c>
      <c r="M12" t="s">
        <v>29</v>
      </c>
      <c r="O12" t="s">
        <v>29</v>
      </c>
    </row>
    <row r="13" spans="1:15" x14ac:dyDescent="0.2">
      <c r="A13" t="s">
        <v>25</v>
      </c>
      <c r="B13" t="s">
        <v>54</v>
      </c>
      <c r="C13" t="s">
        <v>55</v>
      </c>
      <c r="D13" t="s">
        <v>21</v>
      </c>
      <c r="E13" t="s">
        <v>56</v>
      </c>
      <c r="F13" t="s">
        <v>57</v>
      </c>
      <c r="G13" t="s">
        <v>58</v>
      </c>
      <c r="H13" t="s">
        <v>21</v>
      </c>
      <c r="I13" t="s">
        <v>53</v>
      </c>
      <c r="M13" t="s">
        <v>29</v>
      </c>
      <c r="O13" t="s">
        <v>29</v>
      </c>
    </row>
    <row r="14" spans="1:15" x14ac:dyDescent="0.2">
      <c r="A14" t="s">
        <v>36</v>
      </c>
      <c r="B14" t="s">
        <v>59</v>
      </c>
      <c r="C14" t="s">
        <v>55</v>
      </c>
      <c r="D14" t="s">
        <v>21</v>
      </c>
      <c r="E14" t="s">
        <v>60</v>
      </c>
      <c r="F14" t="s">
        <v>61</v>
      </c>
      <c r="G14" t="s">
        <v>62</v>
      </c>
      <c r="H14" t="s">
        <v>21</v>
      </c>
      <c r="I14" t="s">
        <v>53</v>
      </c>
      <c r="M14" t="s">
        <v>29</v>
      </c>
      <c r="O14" t="s">
        <v>29</v>
      </c>
    </row>
    <row r="15" spans="1:15" x14ac:dyDescent="0.2">
      <c r="A15" t="s">
        <v>34</v>
      </c>
      <c r="B15" t="s">
        <v>63</v>
      </c>
      <c r="C15" t="s">
        <v>55</v>
      </c>
      <c r="D15" t="s">
        <v>21</v>
      </c>
      <c r="E15" t="s">
        <v>64</v>
      </c>
      <c r="F15" t="s">
        <v>61</v>
      </c>
      <c r="G15" t="s">
        <v>65</v>
      </c>
      <c r="H15" t="s">
        <v>21</v>
      </c>
      <c r="I15" t="s">
        <v>53</v>
      </c>
      <c r="M15" t="s">
        <v>29</v>
      </c>
      <c r="O15" t="s">
        <v>29</v>
      </c>
    </row>
    <row r="16" spans="1:15" x14ac:dyDescent="0.2">
      <c r="A16" t="s">
        <v>25</v>
      </c>
      <c r="B16" t="s">
        <v>54</v>
      </c>
      <c r="C16" t="s">
        <v>55</v>
      </c>
      <c r="D16" t="s">
        <v>21</v>
      </c>
      <c r="E16" t="s">
        <v>66</v>
      </c>
      <c r="F16" t="s">
        <v>67</v>
      </c>
      <c r="G16" t="s">
        <v>68</v>
      </c>
      <c r="H16" t="s">
        <v>21</v>
      </c>
      <c r="I16" t="s">
        <v>53</v>
      </c>
      <c r="M16" t="s">
        <v>29</v>
      </c>
      <c r="O16" t="s">
        <v>29</v>
      </c>
    </row>
    <row r="17" spans="1:15" x14ac:dyDescent="0.2">
      <c r="A17" t="s">
        <v>30</v>
      </c>
      <c r="B17" t="s">
        <v>59</v>
      </c>
      <c r="C17" t="s">
        <v>55</v>
      </c>
      <c r="D17" t="s">
        <v>69</v>
      </c>
      <c r="E17" t="s">
        <v>70</v>
      </c>
      <c r="F17" t="s">
        <v>71</v>
      </c>
      <c r="G17" t="s">
        <v>72</v>
      </c>
      <c r="H17" t="s">
        <v>21</v>
      </c>
      <c r="I17" t="s">
        <v>53</v>
      </c>
      <c r="M17" t="s">
        <v>29</v>
      </c>
      <c r="O17" t="s">
        <v>29</v>
      </c>
    </row>
    <row r="18" spans="1:15" x14ac:dyDescent="0.2">
      <c r="A18" t="s">
        <v>34</v>
      </c>
      <c r="B18" t="s">
        <v>63</v>
      </c>
      <c r="C18" t="s">
        <v>55</v>
      </c>
      <c r="D18" t="s">
        <v>21</v>
      </c>
      <c r="E18" t="s">
        <v>73</v>
      </c>
      <c r="F18" t="s">
        <v>67</v>
      </c>
      <c r="G18" t="s">
        <v>74</v>
      </c>
      <c r="H18" t="s">
        <v>21</v>
      </c>
      <c r="I18" t="s">
        <v>53</v>
      </c>
      <c r="M18" t="s">
        <v>29</v>
      </c>
      <c r="O18" t="s">
        <v>29</v>
      </c>
    </row>
    <row r="19" spans="1:15" x14ac:dyDescent="0.2">
      <c r="A19" t="s">
        <v>25</v>
      </c>
      <c r="B19" t="s">
        <v>75</v>
      </c>
      <c r="C19" t="s">
        <v>55</v>
      </c>
      <c r="D19" t="s">
        <v>21</v>
      </c>
      <c r="E19" t="s">
        <v>76</v>
      </c>
      <c r="F19" t="s">
        <v>67</v>
      </c>
      <c r="G19" t="s">
        <v>77</v>
      </c>
      <c r="H19" t="s">
        <v>21</v>
      </c>
      <c r="I19" t="s">
        <v>53</v>
      </c>
      <c r="M19" t="s">
        <v>29</v>
      </c>
      <c r="O19" t="s">
        <v>29</v>
      </c>
    </row>
    <row r="20" spans="1:15" x14ac:dyDescent="0.2">
      <c r="A20" t="s">
        <v>30</v>
      </c>
      <c r="B20" t="s">
        <v>78</v>
      </c>
      <c r="C20" t="s">
        <v>55</v>
      </c>
      <c r="D20" t="s">
        <v>21</v>
      </c>
      <c r="E20" t="s">
        <v>79</v>
      </c>
      <c r="F20" t="s">
        <v>80</v>
      </c>
      <c r="G20" t="s">
        <v>81</v>
      </c>
      <c r="H20" t="s">
        <v>21</v>
      </c>
      <c r="I20" t="s">
        <v>53</v>
      </c>
      <c r="M20" t="s">
        <v>29</v>
      </c>
      <c r="O20" t="s">
        <v>29</v>
      </c>
    </row>
    <row r="21" spans="1:15" x14ac:dyDescent="0.2">
      <c r="A21" t="s">
        <v>34</v>
      </c>
      <c r="B21" t="s">
        <v>63</v>
      </c>
      <c r="C21" t="s">
        <v>55</v>
      </c>
      <c r="D21" t="s">
        <v>21</v>
      </c>
      <c r="E21" t="s">
        <v>79</v>
      </c>
      <c r="F21" t="s">
        <v>80</v>
      </c>
      <c r="G21" t="s">
        <v>81</v>
      </c>
      <c r="H21" t="s">
        <v>21</v>
      </c>
      <c r="I21" t="s">
        <v>53</v>
      </c>
      <c r="M21" t="s">
        <v>29</v>
      </c>
      <c r="O21" t="s">
        <v>29</v>
      </c>
    </row>
    <row r="22" spans="1:15" x14ac:dyDescent="0.2">
      <c r="A22" t="s">
        <v>25</v>
      </c>
      <c r="B22" t="s">
        <v>82</v>
      </c>
      <c r="C22" t="s">
        <v>55</v>
      </c>
      <c r="D22" t="s">
        <v>83</v>
      </c>
      <c r="F22" t="s">
        <v>84</v>
      </c>
      <c r="G22" t="s">
        <v>85</v>
      </c>
      <c r="H22" t="s">
        <v>21</v>
      </c>
      <c r="I22" t="s">
        <v>53</v>
      </c>
      <c r="M22" t="s">
        <v>29</v>
      </c>
      <c r="O22" t="s">
        <v>29</v>
      </c>
    </row>
    <row r="23" spans="1:15" x14ac:dyDescent="0.2">
      <c r="A23" t="s">
        <v>30</v>
      </c>
      <c r="B23" t="s">
        <v>86</v>
      </c>
      <c r="C23" t="s">
        <v>55</v>
      </c>
      <c r="D23" t="s">
        <v>87</v>
      </c>
      <c r="F23" t="s">
        <v>84</v>
      </c>
      <c r="G23" t="s">
        <v>88</v>
      </c>
      <c r="H23" t="s">
        <v>21</v>
      </c>
      <c r="I23" t="s">
        <v>53</v>
      </c>
      <c r="M23" t="s">
        <v>29</v>
      </c>
      <c r="O23" t="s">
        <v>29</v>
      </c>
    </row>
    <row r="24" spans="1:15" x14ac:dyDescent="0.2">
      <c r="A24" t="s">
        <v>25</v>
      </c>
      <c r="B24" t="s">
        <v>75</v>
      </c>
      <c r="C24" t="s">
        <v>89</v>
      </c>
      <c r="D24" t="s">
        <v>21</v>
      </c>
      <c r="E24" t="s">
        <v>76</v>
      </c>
      <c r="F24" t="s">
        <v>90</v>
      </c>
      <c r="G24" t="s">
        <v>91</v>
      </c>
      <c r="H24" t="s">
        <v>21</v>
      </c>
      <c r="I24" t="s">
        <v>53</v>
      </c>
      <c r="M24" t="s">
        <v>29</v>
      </c>
      <c r="O24" t="s">
        <v>29</v>
      </c>
    </row>
    <row r="25" spans="1:15" x14ac:dyDescent="0.2">
      <c r="A25" t="s">
        <v>36</v>
      </c>
      <c r="B25" t="s">
        <v>78</v>
      </c>
      <c r="C25" t="s">
        <v>89</v>
      </c>
      <c r="D25" t="s">
        <v>21</v>
      </c>
      <c r="E25" t="s">
        <v>79</v>
      </c>
      <c r="F25" t="s">
        <v>80</v>
      </c>
      <c r="G25" t="s">
        <v>81</v>
      </c>
      <c r="H25" t="s">
        <v>21</v>
      </c>
      <c r="I25" t="s">
        <v>53</v>
      </c>
      <c r="M25" t="s">
        <v>29</v>
      </c>
      <c r="O25" t="s">
        <v>29</v>
      </c>
    </row>
    <row r="26" spans="1:15" x14ac:dyDescent="0.2">
      <c r="A26" t="s">
        <v>34</v>
      </c>
      <c r="B26" t="s">
        <v>92</v>
      </c>
      <c r="C26" t="s">
        <v>89</v>
      </c>
      <c r="D26" t="s">
        <v>21</v>
      </c>
      <c r="E26" t="s">
        <v>79</v>
      </c>
      <c r="F26" t="s">
        <v>80</v>
      </c>
      <c r="G26" t="s">
        <v>81</v>
      </c>
      <c r="H26" t="s">
        <v>21</v>
      </c>
      <c r="I26" t="s">
        <v>53</v>
      </c>
      <c r="M26" t="s">
        <v>29</v>
      </c>
      <c r="O26" t="s">
        <v>29</v>
      </c>
    </row>
    <row r="27" spans="1:15" x14ac:dyDescent="0.2">
      <c r="A27" t="s">
        <v>95</v>
      </c>
      <c r="C27" t="s">
        <v>93</v>
      </c>
      <c r="F27" t="s">
        <v>96</v>
      </c>
      <c r="G27" t="s">
        <v>98</v>
      </c>
      <c r="H27" t="s">
        <v>97</v>
      </c>
      <c r="I27" t="s">
        <v>94</v>
      </c>
      <c r="K27" t="s">
        <v>7</v>
      </c>
      <c r="L27" t="s">
        <v>3</v>
      </c>
      <c r="M27" t="s">
        <v>4</v>
      </c>
      <c r="N27" t="s">
        <v>8</v>
      </c>
      <c r="O27" t="s">
        <v>4</v>
      </c>
    </row>
    <row r="28" spans="1:15" x14ac:dyDescent="0.2">
      <c r="A28" t="s">
        <v>99</v>
      </c>
      <c r="C28" t="s">
        <v>93</v>
      </c>
      <c r="F28" t="s">
        <v>96</v>
      </c>
      <c r="G28" t="s">
        <v>101</v>
      </c>
      <c r="H28" t="s">
        <v>100</v>
      </c>
      <c r="I28" t="s">
        <v>94</v>
      </c>
      <c r="K28" t="s">
        <v>7</v>
      </c>
      <c r="L28" t="s">
        <v>3</v>
      </c>
      <c r="M28" t="s">
        <v>4</v>
      </c>
      <c r="N28" t="s">
        <v>8</v>
      </c>
      <c r="O28" t="s">
        <v>4</v>
      </c>
    </row>
    <row r="29" spans="1:15" x14ac:dyDescent="0.2">
      <c r="A29" t="s">
        <v>102</v>
      </c>
      <c r="C29" t="s">
        <v>93</v>
      </c>
      <c r="F29" t="s">
        <v>96</v>
      </c>
      <c r="G29" t="s">
        <v>98</v>
      </c>
      <c r="H29" t="s">
        <v>97</v>
      </c>
      <c r="I29" t="s">
        <v>94</v>
      </c>
      <c r="K29" t="s">
        <v>7</v>
      </c>
      <c r="L29" t="s">
        <v>3</v>
      </c>
      <c r="M29" t="s">
        <v>4</v>
      </c>
      <c r="N29" t="s">
        <v>8</v>
      </c>
      <c r="O29" t="s">
        <v>4</v>
      </c>
    </row>
    <row r="30" spans="1:15" x14ac:dyDescent="0.2">
      <c r="A30" t="s">
        <v>103</v>
      </c>
      <c r="C30" t="s">
        <v>93</v>
      </c>
      <c r="F30" t="s">
        <v>96</v>
      </c>
      <c r="G30" t="s">
        <v>98</v>
      </c>
      <c r="H30" t="s">
        <v>97</v>
      </c>
      <c r="I30" t="s">
        <v>94</v>
      </c>
      <c r="K30" t="s">
        <v>7</v>
      </c>
      <c r="L30" t="s">
        <v>3</v>
      </c>
      <c r="M30" t="s">
        <v>4</v>
      </c>
      <c r="N30" t="s">
        <v>8</v>
      </c>
      <c r="O30" t="s">
        <v>4</v>
      </c>
    </row>
    <row r="31" spans="1:15" x14ac:dyDescent="0.2">
      <c r="A31" t="s">
        <v>104</v>
      </c>
      <c r="C31" t="s">
        <v>93</v>
      </c>
      <c r="F31" t="s">
        <v>96</v>
      </c>
      <c r="G31" t="s">
        <v>98</v>
      </c>
      <c r="H31" t="s">
        <v>97</v>
      </c>
      <c r="I31" t="s">
        <v>94</v>
      </c>
      <c r="K31" t="s">
        <v>7</v>
      </c>
      <c r="L31" t="s">
        <v>3</v>
      </c>
      <c r="M31" t="s">
        <v>4</v>
      </c>
      <c r="N31" t="s">
        <v>8</v>
      </c>
      <c r="O31" t="s">
        <v>4</v>
      </c>
    </row>
    <row r="32" spans="1:15" x14ac:dyDescent="0.2">
      <c r="A32" t="s">
        <v>105</v>
      </c>
      <c r="C32" t="s">
        <v>93</v>
      </c>
      <c r="F32" t="s">
        <v>96</v>
      </c>
      <c r="G32" t="s">
        <v>98</v>
      </c>
      <c r="H32" t="s">
        <v>97</v>
      </c>
      <c r="I32" t="s">
        <v>94</v>
      </c>
      <c r="K32" t="s">
        <v>7</v>
      </c>
      <c r="L32" t="s">
        <v>3</v>
      </c>
      <c r="M32" t="s">
        <v>4</v>
      </c>
      <c r="N32" t="s">
        <v>8</v>
      </c>
      <c r="O32" t="s">
        <v>4</v>
      </c>
    </row>
    <row r="33" spans="1:15" x14ac:dyDescent="0.2">
      <c r="A33" t="s">
        <v>106</v>
      </c>
      <c r="C33" t="s">
        <v>93</v>
      </c>
      <c r="F33" t="s">
        <v>96</v>
      </c>
      <c r="G33" t="s">
        <v>101</v>
      </c>
      <c r="H33" t="s">
        <v>100</v>
      </c>
      <c r="I33" t="s">
        <v>94</v>
      </c>
      <c r="K33" t="s">
        <v>7</v>
      </c>
      <c r="L33" t="s">
        <v>3</v>
      </c>
      <c r="M33" t="s">
        <v>4</v>
      </c>
      <c r="N33" t="s">
        <v>8</v>
      </c>
      <c r="O33" t="s">
        <v>4</v>
      </c>
    </row>
    <row r="34" spans="1:15" x14ac:dyDescent="0.2">
      <c r="A34" t="s">
        <v>107</v>
      </c>
      <c r="C34" t="s">
        <v>93</v>
      </c>
      <c r="F34" t="s">
        <v>12</v>
      </c>
      <c r="G34" t="s">
        <v>109</v>
      </c>
      <c r="H34" t="s">
        <v>108</v>
      </c>
      <c r="I34" t="s">
        <v>94</v>
      </c>
      <c r="K34" t="s">
        <v>7</v>
      </c>
      <c r="L34" t="s">
        <v>3</v>
      </c>
      <c r="M34" t="s">
        <v>4</v>
      </c>
      <c r="N34" t="s">
        <v>8</v>
      </c>
      <c r="O34" t="s">
        <v>4</v>
      </c>
    </row>
    <row r="35" spans="1:15" x14ac:dyDescent="0.2">
      <c r="A35" t="s">
        <v>110</v>
      </c>
      <c r="C35" t="s">
        <v>93</v>
      </c>
      <c r="F35" t="s">
        <v>96</v>
      </c>
      <c r="G35" t="s">
        <v>98</v>
      </c>
      <c r="H35" t="s">
        <v>97</v>
      </c>
      <c r="I35" t="s">
        <v>94</v>
      </c>
      <c r="K35" t="s">
        <v>7</v>
      </c>
      <c r="L35" t="s">
        <v>3</v>
      </c>
      <c r="M35" t="s">
        <v>4</v>
      </c>
      <c r="N35" t="s">
        <v>8</v>
      </c>
      <c r="O35" t="s">
        <v>4</v>
      </c>
    </row>
    <row r="36" spans="1:15" x14ac:dyDescent="0.2">
      <c r="A36" t="s">
        <v>111</v>
      </c>
      <c r="C36" t="s">
        <v>93</v>
      </c>
      <c r="F36" t="s">
        <v>96</v>
      </c>
      <c r="G36" t="s">
        <v>112</v>
      </c>
      <c r="H36" t="s">
        <v>108</v>
      </c>
      <c r="I36" t="s">
        <v>94</v>
      </c>
      <c r="K36" t="s">
        <v>7</v>
      </c>
      <c r="L36" t="s">
        <v>3</v>
      </c>
      <c r="M36" t="s">
        <v>4</v>
      </c>
      <c r="N36" t="s">
        <v>8</v>
      </c>
      <c r="O3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Panwar</dc:creator>
  <cp:lastModifiedBy>Amal Panwar</cp:lastModifiedBy>
  <dcterms:created xsi:type="dcterms:W3CDTF">2026-04-16T12:36:27Z</dcterms:created>
  <dcterms:modified xsi:type="dcterms:W3CDTF">2026-04-16T12:59:47Z</dcterms:modified>
</cp:coreProperties>
</file>